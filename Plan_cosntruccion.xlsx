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Rov\"/>
    </mc:Choice>
  </mc:AlternateContent>
  <xr:revisionPtr revIDLastSave="0" documentId="13_ncr:1_{1F635B4E-163B-43B3-9DC2-F7D1C4E64C80}" xr6:coauthVersionLast="47" xr6:coauthVersionMax="47" xr10:uidLastSave="{00000000-0000-0000-0000-000000000000}"/>
  <bookViews>
    <workbookView xWindow="-120" yWindow="-120" windowWidth="38640" windowHeight="21120" xr2:uid="{75C40051-293E-4382-8A6D-0D6B95F2BCBB}"/>
  </bookViews>
  <sheets>
    <sheet name="Tablero" sheetId="2" r:id="rId1"/>
    <sheet name="Cronograma" sheetId="1" r:id="rId2"/>
    <sheet name="BOM" sheetId="6" r:id="rId3"/>
    <sheet name="Gates" sheetId="3" r:id="rId4"/>
    <sheet name="Riesgos" sheetId="4" r:id="rId5"/>
    <sheet name="Seguridad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2" l="1"/>
  <c r="D21" i="2"/>
  <c r="F21" i="2" s="1"/>
  <c r="E20" i="2"/>
  <c r="D20" i="2"/>
  <c r="F20" i="2" s="1"/>
  <c r="E19" i="2"/>
  <c r="D19" i="2"/>
  <c r="F19" i="2" s="1"/>
  <c r="E18" i="2"/>
  <c r="D18" i="2"/>
  <c r="F18" i="2" s="1"/>
  <c r="E17" i="2"/>
  <c r="D17" i="2"/>
  <c r="F17" i="2" s="1"/>
  <c r="E16" i="2"/>
  <c r="D16" i="2"/>
  <c r="F16" i="2" s="1"/>
  <c r="E15" i="2"/>
  <c r="E23" i="2" s="1"/>
  <c r="D15" i="2"/>
  <c r="F15" i="2" s="1"/>
  <c r="F14" i="2"/>
  <c r="E14" i="2"/>
  <c r="D14" i="2"/>
  <c r="E10" i="2"/>
  <c r="E7" i="2"/>
  <c r="E6" i="2"/>
  <c r="E5" i="2"/>
  <c r="B10" i="2"/>
  <c r="B9" i="2"/>
  <c r="B8" i="2"/>
  <c r="B7" i="2"/>
  <c r="B6" i="2"/>
  <c r="B5" i="2"/>
  <c r="D23" i="2" l="1"/>
  <c r="F23" i="2" s="1"/>
</calcChain>
</file>

<file path=xl/sharedStrings.xml><?xml version="1.0" encoding="utf-8"?>
<sst xmlns="http://schemas.openxmlformats.org/spreadsheetml/2006/main" count="456" uniqueCount="292">
  <si>
    <t>Cronograma — Montaje ROV Nivel B (ArduSub / ArduPilot)</t>
  </si>
  <si>
    <t>Alcance: armado correlativo Nivel B hasta pool-ready. No incluye certificación 100–200 m ni modificación del FIFISH V6.  |  1 persona a tiempo parcial, 10–15 h/semana  |  Estado: Draft listo para ejecutar</t>
  </si>
  <si>
    <t>ID</t>
  </si>
  <si>
    <t>Fase</t>
  </si>
  <si>
    <t>Tarea</t>
  </si>
  <si>
    <t>Resp.</t>
  </si>
  <si>
    <t>Duración</t>
  </si>
  <si>
    <t>Dep.</t>
  </si>
  <si>
    <t>Materiales / requerimientos</t>
  </si>
  <si>
    <t>Evidencia / Gate</t>
  </si>
  <si>
    <t>Estado</t>
  </si>
  <si>
    <t>Ini</t>
  </si>
  <si>
    <t>Fin</t>
  </si>
  <si>
    <t>A1</t>
  </si>
  <si>
    <t>Diseño</t>
  </si>
  <si>
    <t>Congelar arquitectura Variante B y criterios de aceptación</t>
  </si>
  <si>
    <t>PM</t>
  </si>
  <si>
    <t>1–2 días</t>
  </si>
  <si>
    <t>—</t>
  </si>
  <si>
    <t>BOM final, matriz proveedores, informe conversión</t>
  </si>
  <si>
    <t>G0: BOM y plan de pruebas aprobados</t>
  </si>
  <si>
    <t>Pendiente</t>
  </si>
  <si>
    <t>B1</t>
  </si>
  <si>
    <t>Compras</t>
  </si>
  <si>
    <t>Pedir largo lead time: tether, penetradores, batería/cargador, Navigator</t>
  </si>
  <si>
    <t>LOG</t>
  </si>
  <si>
    <t>1 día</t>
  </si>
  <si>
    <t>Tether 100 m, penetradores/O-rings, batería 4S, cargador, Navigator</t>
  </si>
  <si>
    <t>Orden y tracking registrados</t>
  </si>
  <si>
    <t>B2</t>
  </si>
  <si>
    <t>Pedir propulsión y sensores oficiales</t>
  </si>
  <si>
    <t>T200 x6 CW/CCW, Basic ESC x6, Bar30, PSM, Fathom-X par</t>
  </si>
  <si>
    <t>B3</t>
  </si>
  <si>
    <t>Pedir periferia AliExpress validada</t>
  </si>
  <si>
    <t>Raspberry Pi 4, cámara, UBEC, joystick, JST GH, cables, fusibles, microSD, USB Ethernet</t>
  </si>
  <si>
    <t>Lista de vendedores/listings con criterio</t>
  </si>
  <si>
    <t>B4</t>
  </si>
  <si>
    <t>Incoming inspection de todo lo recibido</t>
  </si>
  <si>
    <t>HW/TEST</t>
  </si>
  <si>
    <t>continuo</t>
  </si>
  <si>
    <t>B1-B3</t>
  </si>
  <si>
    <t>Multímetro, planilla de inspección</t>
  </si>
  <si>
    <t>G1: materiales correctos, sin daño, modelo verificado</t>
  </si>
  <si>
    <t>C1</t>
  </si>
  <si>
    <t>Control</t>
  </si>
  <si>
    <t>Flashear/verificar BlueOS en Raspberry Pi 4</t>
  </si>
  <si>
    <t>SW</t>
  </si>
  <si>
    <t>0.5–1 día</t>
  </si>
  <si>
    <t>Navigator/Pi</t>
  </si>
  <si>
    <t>Raspberry Pi 4, microSD BlueOS, fuente 5V</t>
  </si>
  <si>
    <t>BlueOS bootea y expande filesystem</t>
  </si>
  <si>
    <t>C2</t>
  </si>
  <si>
    <t>Montar Navigator + heatsink y alimentar</t>
  </si>
  <si>
    <t>HW</t>
  </si>
  <si>
    <t>0.5 día</t>
  </si>
  <si>
    <t>Navigator, heatsink, fuente 5V</t>
  </si>
  <si>
    <t>Navigator detectada, sin calentamiento anormal</t>
  </si>
  <si>
    <t>C3</t>
  </si>
  <si>
    <t>Acceder a BlueOS y actualizar</t>
  </si>
  <si>
    <t>Laptop, Ethernet directo, red 192.168.2.x</t>
  </si>
  <si>
    <t>Acceso a 192.168.2.2 / blueos.local</t>
  </si>
  <si>
    <t>C4</t>
  </si>
  <si>
    <t>Instalar ArduSub desde BlueOS</t>
  </si>
  <si>
    <t>BlueOS con internet</t>
  </si>
  <si>
    <t>ArduSub instalado; versión registrada</t>
  </si>
  <si>
    <t>C5</t>
  </si>
  <si>
    <t>Conectar QGroundControl/Cockpit y joystick</t>
  </si>
  <si>
    <t>Laptop, joystick USB, QGC/Cockpit</t>
  </si>
  <si>
    <t>Telemetría y joystick responden</t>
  </si>
  <si>
    <t>C6</t>
  </si>
  <si>
    <t>Probar video con BlueOS</t>
  </si>
  <si>
    <t>Cámara Pi/USB/IP, BlueOS/mavlink-camera-manager</t>
  </si>
  <si>
    <t>Video estable 30 min</t>
  </si>
  <si>
    <t>C7</t>
  </si>
  <si>
    <t>Probar Fathom-X en banco</t>
  </si>
  <si>
    <t>HW/SW</t>
  </si>
  <si>
    <t>Fathom-X</t>
  </si>
  <si>
    <t>Fathom-X par, tramo tether de prueba</t>
  </si>
  <si>
    <t>Throughput video + MAVLink sin cortes</t>
  </si>
  <si>
    <t>D1</t>
  </si>
  <si>
    <t>Potencia</t>
  </si>
  <si>
    <t>Verificar batería y cargador</t>
  </si>
  <si>
    <t>Batería</t>
  </si>
  <si>
    <t>Batería 4S, cargador, multímetro</t>
  </si>
  <si>
    <t>Voltaje por celda OK, BMS OK, sin daño</t>
  </si>
  <si>
    <t>D2</t>
  </si>
  <si>
    <t>Cablear fusible, PSM y UBEC</t>
  </si>
  <si>
    <t>Fusible, PSM, UBEC, cable tinned</t>
  </si>
  <si>
    <t>Consumo reposo coherente, sin calentamiento</t>
  </si>
  <si>
    <t>D3</t>
  </si>
  <si>
    <t>Calibrar battery monitor en QGC</t>
  </si>
  <si>
    <t>QGC, PSM, carga conocida</t>
  </si>
  <si>
    <t>Voltaje/corriente coinciden con referencia</t>
  </si>
  <si>
    <t>D4</t>
  </si>
  <si>
    <t>Sensores</t>
  </si>
  <si>
    <t>Probar Bar30 en aire y balde</t>
  </si>
  <si>
    <t>Bar30, balde, I2C</t>
  </si>
  <si>
    <t>Lectura de profundidad coherente</t>
  </si>
  <si>
    <t>D5</t>
  </si>
  <si>
    <t>Probar leak probe y failsafe</t>
  </si>
  <si>
    <t>TEST</t>
  </si>
  <si>
    <t>Sondas SOS, config failsafe</t>
  </si>
  <si>
    <t>Fuga simulada dispara acción configurada</t>
  </si>
  <si>
    <t>E1</t>
  </si>
  <si>
    <t>Propulsión</t>
  </si>
  <si>
    <t>Probar 1 ESC + 1 thruster</t>
  </si>
  <si>
    <t>ESC, thruster, fuente/batería, balde</t>
  </si>
  <si>
    <t>Inicialización 1500 µs, dirección, corriente y temp. OK</t>
  </si>
  <si>
    <t>E2</t>
  </si>
  <si>
    <t>Conectar 6 ESC y configurar frame</t>
  </si>
  <si>
    <t>SW/HW</t>
  </si>
  <si>
    <t>6 ESC, 6 thrusters, ArduSub</t>
  </si>
  <si>
    <t>Frame Vectored 6 o custom configurado</t>
  </si>
  <si>
    <t>E3</t>
  </si>
  <si>
    <t>Verificar dirección sin hélices</t>
  </si>
  <si>
    <t>ArduSub, GCS</t>
  </si>
  <si>
    <t>Cada motor gira en el sentido esperado</t>
  </si>
  <si>
    <t>E4</t>
  </si>
  <si>
    <t>Probar mezcla en agua controlada con límites bajos</t>
  </si>
  <si>
    <t>Balde/pileta, límites de motor</t>
  </si>
  <si>
    <t>Mezcla correcta, sin canal cruzado</t>
  </si>
  <si>
    <t>F1</t>
  </si>
  <si>
    <t>Mecánica</t>
  </si>
  <si>
    <t>Layout interno y cableado</t>
  </si>
  <si>
    <t>Casco/frame, soportes, cableado</t>
  </si>
  <si>
    <t>Potencia y señal separadas, alivio de tracción</t>
  </si>
  <si>
    <t>F2</t>
  </si>
  <si>
    <t>Instalar penetradores y O-rings</t>
  </si>
  <si>
    <t>Penetradores, O-rings, grasa silicona</t>
  </si>
  <si>
    <t>Ranuras limpias, lubricación correcta</t>
  </si>
  <si>
    <t>F3</t>
  </si>
  <si>
    <t>Prueba de vacío/presión antes de agua</t>
  </si>
  <si>
    <t>Bomba/vacío o método definido</t>
  </si>
  <si>
    <t>G5: no caída anormal de vacío/presión</t>
  </si>
  <si>
    <t>F4</t>
  </si>
  <si>
    <t>Ajuste inicial de flotabilidad/trim</t>
  </si>
  <si>
    <t>Lastre/flotación</t>
  </si>
  <si>
    <t>ROV neutro o levemente positivo en seco/teórico</t>
  </si>
  <si>
    <t>G1</t>
  </si>
  <si>
    <t>Pileta</t>
  </si>
  <si>
    <t>Sesión 1: flotación, manual y estabilizado</t>
  </si>
  <si>
    <t>Pileta, GCS, kit rescate</t>
  </si>
  <si>
    <t>Control predecible, sin fuga</t>
  </si>
  <si>
    <t>G2</t>
  </si>
  <si>
    <t>Sesión 2: Bar30 y depth hold inicial</t>
  </si>
  <si>
    <t>Bar30, ArduSub</t>
  </si>
  <si>
    <t>Depth hold sin oscilaciones grandes</t>
  </si>
  <si>
    <t>G3</t>
  </si>
  <si>
    <t>Sesión 3: heading hold y recorrido corto</t>
  </si>
  <si>
    <t>ArduSub, joystick</t>
  </si>
  <si>
    <t>Heading estable, recuperación simple</t>
  </si>
  <si>
    <t>G4</t>
  </si>
  <si>
    <t>Failsafes: batería baja, telemetría, fuga simulada</t>
  </si>
  <si>
    <t>Config failsafes</t>
  </si>
  <si>
    <t>Acciones seguras verificadas y logueadas</t>
  </si>
  <si>
    <t>G5</t>
  </si>
  <si>
    <t>Acumular 30 min y revisar logs</t>
  </si>
  <si>
    <t>TEST/PM</t>
  </si>
  <si>
    <t>G1-G4</t>
  </si>
  <si>
    <t>Logs, video, telemetría</t>
  </si>
  <si>
    <t>G6: pool-ready, sin alarmas no explicadas</t>
  </si>
  <si>
    <t>H1</t>
  </si>
  <si>
    <t>Cierre</t>
  </si>
  <si>
    <t>Exportar parámetros y versiones</t>
  </si>
  <si>
    <t>G6</t>
  </si>
  <si>
    <t>ArduSub, BlueOS, QGC/Cockpit</t>
  </si>
  <si>
    <t>Archivos de parámetros y versiones guardados</t>
  </si>
  <si>
    <t>H2</t>
  </si>
  <si>
    <t>Diagrama final de cableado y potencia</t>
  </si>
  <si>
    <t>Fotos, esquema, mediciones</t>
  </si>
  <si>
    <t>Diagrama actualizado</t>
  </si>
  <si>
    <t>H3</t>
  </si>
  <si>
    <t>Checklist pre-dive/post-dive y spares</t>
  </si>
  <si>
    <t>H1-H2</t>
  </si>
  <si>
    <t>Lista de repuestos, consumibles</t>
  </si>
  <si>
    <t>G7: paquete de operación listo</t>
  </si>
  <si>
    <t>Gates de aceptación — ROV Nivel B</t>
  </si>
  <si>
    <t>Cada gate es el criterio que habilita la siguiente fase. No avanzar sin cumplirlo.</t>
  </si>
  <si>
    <t>Gate</t>
  </si>
  <si>
    <t>Nombre</t>
  </si>
  <si>
    <t>Criterio</t>
  </si>
  <si>
    <t>G0</t>
  </si>
  <si>
    <t>Diseño congelado</t>
  </si>
  <si>
    <t>BOM, variante, presupuesto y plan de pruebas aprobados</t>
  </si>
  <si>
    <t>Materiales OK</t>
  </si>
  <si>
    <t>Todo recibido, inspeccionado y con modelo correcto</t>
  </si>
  <si>
    <t>Telemetría/video en banco</t>
  </si>
  <si>
    <t>BlueOS + ArduSub + GCS + joystick + video estables</t>
  </si>
  <si>
    <t>Sensores OK</t>
  </si>
  <si>
    <t>Bar30, PSM, fuga y failsafes funcionando</t>
  </si>
  <si>
    <t>Propulsión OK</t>
  </si>
  <si>
    <t>6 motores con mezcla, dirección, consumo y temperatura correctos</t>
  </si>
  <si>
    <t>Estanqueidad seca</t>
  </si>
  <si>
    <t>Prueba de vacío/presión superada antes de agua</t>
  </si>
  <si>
    <t>Pool-ready</t>
  </si>
  <si>
    <t>30 min acumulados en pileta, failsafes probados, logs limpios</t>
  </si>
  <si>
    <t>G7</t>
  </si>
  <si>
    <t>Handoff</t>
  </si>
  <si>
    <t>Parámetros, diagramas, checklist y spares documentados</t>
  </si>
  <si>
    <t>Matriz de riesgos y mitigaciones — ROV Nivel B</t>
  </si>
  <si>
    <t>Riesgos priorizados por impacto y semana crítica, con su mitigación.</t>
  </si>
  <si>
    <t>Riesgo</t>
  </si>
  <si>
    <t>Semana crítica</t>
  </si>
  <si>
    <t>Impacto</t>
  </si>
  <si>
    <t>Mitigación</t>
  </si>
  <si>
    <t>Batería Li-ion no llega / no se puede enviar</t>
  </si>
  <si>
    <t>1–4</t>
  </si>
  <si>
    <t>Alto</t>
  </si>
  <si>
    <t>Comprar local/certificada o definir banco con fuente antes</t>
  </si>
  <si>
    <t>Tether / penetradores demorados</t>
  </si>
  <si>
    <t>Pedir semana 1; tener frame abierto para banco</t>
  </si>
  <si>
    <t>CW/CCW de hélices incorrecto</t>
  </si>
  <si>
    <t>1–6</t>
  </si>
  <si>
    <t>Medio</t>
  </si>
  <si>
    <t>Definir frame antes de comprar T200</t>
  </si>
  <si>
    <t>Fathom-X / tether no rinde</t>
  </si>
  <si>
    <t>Probar temprano con tramo corto</t>
  </si>
  <si>
    <t>Fuga en estanqueidad</t>
  </si>
  <si>
    <t>No entrar a agua sin G5; revisar O-rings/penetradores</t>
  </si>
  <si>
    <t>AliExpress tardío o listing incorrecto</t>
  </si>
  <si>
    <t>Solo periferia; tener alternativa local/oficial</t>
  </si>
  <si>
    <t>Sobrecalentamiento ESC / Raspberry Pi</t>
  </si>
  <si>
    <t>5–8</t>
  </si>
  <si>
    <t>Banco térmico, disipación, límites de motor</t>
  </si>
  <si>
    <t>Reglas de seguridad del schedule</t>
  </si>
  <si>
    <t>Reglas duras. Ninguna tarea puede saltearlas.</t>
  </si>
  <si>
    <t>#</t>
  </si>
  <si>
    <t>Regla</t>
  </si>
  <si>
    <t>No comprar batería hasta confirmar cargador / BMS / envío.</t>
  </si>
  <si>
    <t>No instalar hélices hasta verificar dirección de motores.</t>
  </si>
  <si>
    <t>No correr thrusters en seco más que lo mínimo indispensable.</t>
  </si>
  <si>
    <t>No entrar a agua sin prueba de vacío / presión.</t>
  </si>
  <si>
    <t>No usar componentes AliExpress en lazo crítico sin prueba de banco y plan B.</t>
  </si>
  <si>
    <t>Recordatorios del equipo (README del caso FIFISH V6)</t>
  </si>
  <si>
    <t>•</t>
  </si>
  <si>
    <t>Los thrusters no deben girar en aire más de 30 segundos.</t>
  </si>
  <si>
    <t>Enjuagar con agua dulce después de cada inmersión; usar rutina de limpieza de motores (~10 min).</t>
  </si>
  <si>
    <t>Batería: almacenar al 50–60 % y cargar a full cada 90 días si no se usa.</t>
  </si>
  <si>
    <t>O-rings solo con grasa de silicona compatible; nunca base petróleo.</t>
  </si>
  <si>
    <t>Li-ion + agua salada = riesgo térmico: no hacer ciclos de encendido de prueba.</t>
  </si>
  <si>
    <t>Tablero — Montaje ROV Nivel B (ArduSub / ArduPilot)</t>
  </si>
  <si>
    <t>Objetivo: llevar el armado correlativo Nivel B hasta pool-ready.  |  1 persona, 10–15 h/semana  |  Horizonte: 12 semanas (S0–S12)</t>
  </si>
  <si>
    <t>AVANCE GENERAL</t>
  </si>
  <si>
    <t>Total de tareas</t>
  </si>
  <si>
    <t>Hechas</t>
  </si>
  <si>
    <t>En curso</t>
  </si>
  <si>
    <t>Bloqueadas</t>
  </si>
  <si>
    <t>Pendientes</t>
  </si>
  <si>
    <t>% Completado</t>
  </si>
  <si>
    <t>GATES</t>
  </si>
  <si>
    <t>Gates cumplidos</t>
  </si>
  <si>
    <t>Total gates</t>
  </si>
  <si>
    <t>% Gates</t>
  </si>
  <si>
    <t>RIESGOS ALTOS</t>
  </si>
  <si>
    <t>Riesgos de impacto Alto</t>
  </si>
  <si>
    <t>AVANCE POR FASE</t>
  </si>
  <si>
    <t>Descripción</t>
  </si>
  <si>
    <t>Semanas</t>
  </si>
  <si>
    <t>Tareas</t>
  </si>
  <si>
    <t>% Avance</t>
  </si>
  <si>
    <t>A</t>
  </si>
  <si>
    <t>Diseño / BOM</t>
  </si>
  <si>
    <t>S0</t>
  </si>
  <si>
    <t>B</t>
  </si>
  <si>
    <t>S1–S4</t>
  </si>
  <si>
    <t>C</t>
  </si>
  <si>
    <t>Control BlueOS / ArduSub</t>
  </si>
  <si>
    <t>S2–S3</t>
  </si>
  <si>
    <t>D</t>
  </si>
  <si>
    <t>Potencia y sensores</t>
  </si>
  <si>
    <t>S4</t>
  </si>
  <si>
    <t>E</t>
  </si>
  <si>
    <t>S5–S6</t>
  </si>
  <si>
    <t>F</t>
  </si>
  <si>
    <t>Mecánica / estanqueidad</t>
  </si>
  <si>
    <t>S7–S8</t>
  </si>
  <si>
    <t>G</t>
  </si>
  <si>
    <t>Pileta / validación</t>
  </si>
  <si>
    <t>S9–S10</t>
  </si>
  <si>
    <t>H</t>
  </si>
  <si>
    <t>Documentación / handoff</t>
  </si>
  <si>
    <t>S11–S12</t>
  </si>
  <si>
    <t>TOTAL</t>
  </si>
  <si>
    <t>BOM — Lista de materiales ROV Nivel B (equivalente FIFISH V6)</t>
  </si>
  <si>
    <t>Build ArduSub clase BlueROV2 (6 thrusters vectored). Costos en USD = ESTIMADOS de planificación, a confirmar contra bom-final-nivel-b.md y matriz-proveedores-rov.md. Azul = dato a editar.</t>
  </si>
  <si>
    <t>Categoría</t>
  </si>
  <si>
    <t>Componente</t>
  </si>
  <si>
    <t>Cant.</t>
  </si>
  <si>
    <t>Costo unit. est. (USD)</t>
  </si>
  <si>
    <t>Costo línea</t>
  </si>
  <si>
    <t>Fuente sugerida</t>
  </si>
  <si>
    <t>Notas / lección del 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</si>
</sst>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&quot;0"/>
    <numFmt numFmtId="165" formatCode="0.0%"/>
  </numFmts>
  <fonts count="16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</font>
    <font>
      <i/>
      <sz val="10"/>
      <color rgb="FF44546A"/>
      <name val="Calibri"/>
    </font>
    <font>
      <b/>
      <sz val="11"/>
      <color rgb="FFFFFFFF"/>
      <name val="Aptos Narrow"/>
      <family val="2"/>
      <scheme val="minor"/>
    </font>
    <font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6"/>
      <color rgb="FFFFFFFF"/>
      <name val="Aptos Narrow"/>
      <family val="2"/>
      <scheme val="minor"/>
    </font>
    <font>
      <i/>
      <sz val="10"/>
      <color rgb="FF44546A"/>
      <name val="Aptos Narrow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</font>
    <font>
      <i/>
      <sz val="10"/>
      <color rgb="FF7B1F1F"/>
      <name val="Aptos Narrow"/>
      <family val="2"/>
      <scheme val="minor"/>
    </font>
    <font>
      <i/>
      <sz val="10"/>
      <color rgb="FF7F6000"/>
      <name val="Aptos Narrow"/>
      <family val="2"/>
      <scheme val="minor"/>
    </font>
    <font>
      <b/>
      <sz val="11"/>
      <color rgb="FF7F6000"/>
      <name val="Aptos Narrow"/>
      <family val="2"/>
      <scheme val="minor"/>
    </font>
    <font>
      <sz val="10"/>
      <color rgb="FF5B4A00"/>
      <name val="Calibri"/>
    </font>
    <font>
      <b/>
      <sz val="18"/>
      <color rgb="FFFFFFFF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4D7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B1F1F"/>
        <bgColor indexed="64"/>
      </patternFill>
    </fill>
    <fill>
      <patternFill patternType="solid">
        <fgColor rgb="FFF2D6D6"/>
        <bgColor indexed="64"/>
      </patternFill>
    </fill>
    <fill>
      <patternFill patternType="solid">
        <fgColor rgb="FF9C2B2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FCEFC7"/>
        <bgColor indexed="64"/>
      </patternFill>
    </fill>
    <fill>
      <patternFill patternType="solid">
        <fgColor rgb="FF9C7A1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7BA8"/>
        <bgColor indexed="64"/>
      </patternFill>
    </fill>
  </fills>
  <borders count="34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auto="1"/>
      </bottom>
      <diagonal/>
    </border>
    <border>
      <left/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/>
      <top style="thin">
        <color rgb="FFD9D9D9"/>
      </top>
      <bottom style="thin">
        <color rgb="FFBFBFBF"/>
      </bottom>
      <diagonal/>
    </border>
    <border>
      <left/>
      <right style="thin">
        <color rgb="FFEEEEEE"/>
      </right>
      <top/>
      <bottom style="thin">
        <color rgb="FFEEEEEE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  <border>
      <left style="thin">
        <color rgb="FFEEEEEE"/>
      </left>
      <right/>
      <top/>
      <bottom style="thin">
        <color rgb="FFEEEEEE"/>
      </bottom>
      <diagonal/>
    </border>
    <border>
      <left/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/>
      <top style="thin">
        <color rgb="FFEEEEEE"/>
      </top>
      <bottom style="thin">
        <color rgb="FFEEEEEE"/>
      </bottom>
      <diagonal/>
    </border>
    <border>
      <left/>
      <right style="thin">
        <color rgb="FFEEEEEE"/>
      </right>
      <top style="thin">
        <color rgb="FFEEEEEE"/>
      </top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/>
      <diagonal/>
    </border>
    <border>
      <left style="thin">
        <color rgb="FFEEEEEE"/>
      </left>
      <right/>
      <top style="thin">
        <color rgb="FFEEEEEE"/>
      </top>
      <bottom/>
      <diagonal/>
    </border>
    <border>
      <left/>
      <right style="thin">
        <color rgb="FFE0C0C0"/>
      </right>
      <top/>
      <bottom style="thin">
        <color rgb="FFE0C0C0"/>
      </bottom>
      <diagonal/>
    </border>
    <border>
      <left style="thin">
        <color rgb="FFE0C0C0"/>
      </left>
      <right style="thin">
        <color rgb="FFE0C0C0"/>
      </right>
      <top/>
      <bottom style="thin">
        <color rgb="FFE0C0C0"/>
      </bottom>
      <diagonal/>
    </border>
    <border>
      <left style="thin">
        <color rgb="FFE0C0C0"/>
      </left>
      <right/>
      <top/>
      <bottom style="thin">
        <color rgb="FFE0C0C0"/>
      </bottom>
      <diagonal/>
    </border>
    <border>
      <left/>
      <right style="thin">
        <color rgb="FFE0C0C0"/>
      </right>
      <top style="thin">
        <color rgb="FFE0C0C0"/>
      </top>
      <bottom style="thin">
        <color rgb="FFE0C0C0"/>
      </bottom>
      <diagonal/>
    </border>
    <border>
      <left style="thin">
        <color rgb="FFE0C0C0"/>
      </left>
      <right style="thin">
        <color rgb="FFE0C0C0"/>
      </right>
      <top style="thin">
        <color rgb="FFE0C0C0"/>
      </top>
      <bottom style="thin">
        <color rgb="FFE0C0C0"/>
      </bottom>
      <diagonal/>
    </border>
    <border>
      <left style="thin">
        <color rgb="FFE0C0C0"/>
      </left>
      <right/>
      <top style="thin">
        <color rgb="FFE0C0C0"/>
      </top>
      <bottom style="thin">
        <color rgb="FFE0C0C0"/>
      </bottom>
      <diagonal/>
    </border>
    <border>
      <left/>
      <right style="thin">
        <color rgb="FFE0C0C0"/>
      </right>
      <top style="thin">
        <color rgb="FFE0C0C0"/>
      </top>
      <bottom style="thin">
        <color auto="1"/>
      </bottom>
      <diagonal/>
    </border>
    <border>
      <left style="thin">
        <color rgb="FFE0C0C0"/>
      </left>
      <right style="thin">
        <color rgb="FFE0C0C0"/>
      </right>
      <top style="thin">
        <color rgb="FFE0C0C0"/>
      </top>
      <bottom style="thin">
        <color auto="1"/>
      </bottom>
      <diagonal/>
    </border>
    <border>
      <left style="thin">
        <color rgb="FFE0C0C0"/>
      </left>
      <right/>
      <top style="thin">
        <color rgb="FFE0C0C0"/>
      </top>
      <bottom style="thin">
        <color auto="1"/>
      </bottom>
      <diagonal/>
    </border>
    <border>
      <left/>
      <right/>
      <top/>
      <bottom style="thin">
        <color rgb="FFE8D9A0"/>
      </bottom>
      <diagonal/>
    </border>
    <border>
      <left/>
      <right/>
      <top style="thin">
        <color rgb="FFE8D9A0"/>
      </top>
      <bottom style="thin">
        <color rgb="FFE8D9A0"/>
      </bottom>
      <diagonal/>
    </border>
    <border>
      <left/>
      <right/>
      <top style="thin">
        <color rgb="FFE8D9A0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1" fillId="2" borderId="0" xfId="0" applyFont="1" applyFill="1"/>
    <xf numFmtId="0" fontId="2" fillId="3" borderId="0" xfId="0" applyFont="1" applyFill="1" applyAlignme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2" borderId="0" xfId="0" applyFont="1" applyFill="1"/>
    <xf numFmtId="0" fontId="8" fillId="3" borderId="0" xfId="0" applyFont="1" applyFill="1"/>
    <xf numFmtId="0" fontId="7" fillId="2" borderId="0" xfId="0" applyFont="1" applyFill="1"/>
    <xf numFmtId="0" fontId="8" fillId="3" borderId="0" xfId="0" applyFont="1" applyFill="1"/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13" borderId="0" xfId="0" applyFont="1" applyFill="1"/>
    <xf numFmtId="0" fontId="11" fillId="14" borderId="0" xfId="0" applyFont="1" applyFill="1"/>
    <xf numFmtId="0" fontId="9" fillId="15" borderId="22" xfId="0" applyFont="1" applyFill="1" applyBorder="1" applyAlignment="1">
      <alignment vertical="center"/>
    </xf>
    <xf numFmtId="0" fontId="9" fillId="15" borderId="23" xfId="0" applyFont="1" applyFill="1" applyBorder="1" applyAlignment="1">
      <alignment horizontal="center" vertical="center"/>
    </xf>
    <xf numFmtId="0" fontId="9" fillId="15" borderId="24" xfId="0" applyFont="1" applyFill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0" fillId="0" borderId="25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13" fillId="0" borderId="0" xfId="0" applyFont="1"/>
    <xf numFmtId="0" fontId="7" fillId="16" borderId="0" xfId="0" applyFont="1" applyFill="1"/>
    <xf numFmtId="0" fontId="12" fillId="17" borderId="0" xfId="0" applyFont="1" applyFill="1"/>
    <xf numFmtId="0" fontId="9" fillId="18" borderId="31" xfId="0" applyFont="1" applyFill="1" applyBorder="1" applyAlignment="1">
      <alignment horizontal="center" vertical="center"/>
    </xf>
    <xf numFmtId="0" fontId="9" fillId="18" borderId="31" xfId="0" applyFont="1" applyFill="1" applyBorder="1" applyAlignment="1">
      <alignment vertical="center"/>
    </xf>
    <xf numFmtId="0" fontId="10" fillId="19" borderId="32" xfId="0" applyFont="1" applyFill="1" applyBorder="1" applyAlignment="1">
      <alignment horizontal="center" vertical="center"/>
    </xf>
    <xf numFmtId="0" fontId="10" fillId="19" borderId="33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wrapText="1"/>
    </xf>
    <xf numFmtId="0" fontId="15" fillId="2" borderId="0" xfId="0" applyFont="1" applyFill="1"/>
    <xf numFmtId="0" fontId="4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0" fillId="0" borderId="0" xfId="0" applyFont="1"/>
    <xf numFmtId="0" fontId="9" fillId="20" borderId="1" xfId="0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vertical="center"/>
    </xf>
    <xf numFmtId="0" fontId="9" fillId="20" borderId="2" xfId="0" applyFont="1" applyFill="1" applyBorder="1" applyAlignment="1">
      <alignment horizontal="center" vertical="center"/>
    </xf>
    <xf numFmtId="0" fontId="9" fillId="20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0" fontId="3" fillId="4" borderId="0" xfId="0" applyFont="1" applyFill="1"/>
    <xf numFmtId="0" fontId="9" fillId="15" borderId="0" xfId="0" applyFont="1" applyFill="1"/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15" borderId="0" xfId="0" applyFont="1" applyFill="1" applyAlignment="1">
      <alignment horizontal="left"/>
    </xf>
  </cellXfs>
  <cellStyles count="1">
    <cellStyle name="Normal" xfId="0" builtinId="0"/>
  </cellStyles>
  <dxfs count="18"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808080"/>
      </font>
      <fill>
        <patternFill patternType="solid">
          <fgColor indexed="64"/>
          <bgColor rgb="FFF2F2F2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808080"/>
      </font>
      <fill>
        <patternFill patternType="solid">
          <fgColor indexed="64"/>
          <bgColor rgb="FFF2F2F2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A5A5A5"/>
        </patternFill>
      </fill>
    </dxf>
    <dxf>
      <fill>
        <patternFill patternType="solid">
          <fgColor indexed="64"/>
          <bgColor rgb="FF5B9BD5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70AD47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BD7493-FA46-4DA7-BB3C-B57D6872EEA3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70548426-8a0b-4760-b42c-e6a38c07b19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1D19-0D18-4D38-B6AB-EB89323589F6}">
  <dimension ref="A1:H23"/>
  <sheetViews>
    <sheetView showGridLines="0" tabSelected="1" workbookViewId="0">
      <selection sqref="A1:H1"/>
    </sheetView>
  </sheetViews>
  <sheetFormatPr baseColWidth="10" defaultRowHeight="15" x14ac:dyDescent="0.25"/>
  <cols>
    <col min="1" max="1" width="23.28515625" customWidth="1"/>
    <col min="2" max="2" width="39" customWidth="1"/>
    <col min="3" max="3" width="18.140625" customWidth="1"/>
    <col min="4" max="4" width="25.140625" customWidth="1"/>
    <col min="5" max="5" width="16.140625" customWidth="1"/>
    <col min="6" max="6" width="18.7109375" customWidth="1"/>
  </cols>
  <sheetData>
    <row r="1" spans="1:8" ht="30" customHeight="1" x14ac:dyDescent="0.4">
      <c r="A1" s="70" t="s">
        <v>240</v>
      </c>
      <c r="B1" s="70"/>
      <c r="C1" s="70"/>
      <c r="D1" s="70"/>
      <c r="E1" s="70"/>
      <c r="F1" s="70"/>
      <c r="G1" s="70"/>
      <c r="H1" s="70"/>
    </row>
    <row r="2" spans="1:8" ht="18" customHeight="1" x14ac:dyDescent="0.25">
      <c r="A2" s="34" t="s">
        <v>241</v>
      </c>
      <c r="B2" s="34"/>
      <c r="C2" s="34"/>
      <c r="D2" s="34"/>
      <c r="E2" s="34"/>
      <c r="F2" s="34"/>
      <c r="G2" s="34"/>
      <c r="H2" s="34"/>
    </row>
    <row r="4" spans="1:8" x14ac:dyDescent="0.25">
      <c r="A4" s="91" t="s">
        <v>242</v>
      </c>
      <c r="B4" s="91"/>
      <c r="D4" s="91" t="s">
        <v>249</v>
      </c>
      <c r="E4" s="91"/>
    </row>
    <row r="5" spans="1:8" x14ac:dyDescent="0.25">
      <c r="A5" s="93" t="s">
        <v>243</v>
      </c>
      <c r="B5" s="71">
        <f>COUNTA(Cronograma!A5:A37)</f>
        <v>33</v>
      </c>
      <c r="D5" s="93" t="s">
        <v>250</v>
      </c>
      <c r="E5" s="71">
        <f>COUNTIF(Gates!D5:D12,"Hecho")</f>
        <v>0</v>
      </c>
    </row>
    <row r="6" spans="1:8" x14ac:dyDescent="0.25">
      <c r="A6" s="93" t="s">
        <v>244</v>
      </c>
      <c r="B6" s="71">
        <f>COUNTIF(Cronograma!I5:I37,"Hecho")</f>
        <v>0</v>
      </c>
      <c r="D6" s="93" t="s">
        <v>251</v>
      </c>
      <c r="E6" s="71">
        <f>COUNTA(Gates!A5:A12)</f>
        <v>8</v>
      </c>
    </row>
    <row r="7" spans="1:8" x14ac:dyDescent="0.25">
      <c r="A7" s="93" t="s">
        <v>245</v>
      </c>
      <c r="B7" s="71">
        <f>COUNTIF(Cronograma!I5:I37,"En curso")</f>
        <v>0</v>
      </c>
      <c r="D7" s="94" t="s">
        <v>252</v>
      </c>
      <c r="E7" s="72">
        <f>IF(E6=0,0,E5/E6)</f>
        <v>0</v>
      </c>
    </row>
    <row r="8" spans="1:8" x14ac:dyDescent="0.25">
      <c r="A8" s="93" t="s">
        <v>246</v>
      </c>
      <c r="B8" s="71">
        <f>COUNTIF(Cronograma!I5:I37,"Bloqueado")</f>
        <v>0</v>
      </c>
      <c r="D8" s="93"/>
      <c r="E8" s="71"/>
    </row>
    <row r="9" spans="1:8" x14ac:dyDescent="0.25">
      <c r="A9" s="93" t="s">
        <v>247</v>
      </c>
      <c r="B9" s="71">
        <f>COUNTIF(Cronograma!I5:I37,"Pendiente")</f>
        <v>33</v>
      </c>
      <c r="D9" s="95" t="s">
        <v>253</v>
      </c>
      <c r="E9" s="92"/>
    </row>
    <row r="10" spans="1:8" x14ac:dyDescent="0.25">
      <c r="A10" s="93" t="s">
        <v>248</v>
      </c>
      <c r="B10" s="72">
        <f>IF(B5=0,0,B6/B5)</f>
        <v>0</v>
      </c>
      <c r="D10" s="93" t="s">
        <v>254</v>
      </c>
      <c r="E10" s="71">
        <f>COUNTIF(Riesgos!C5:C11,"Alto")</f>
        <v>3</v>
      </c>
    </row>
    <row r="12" spans="1:8" x14ac:dyDescent="0.25">
      <c r="A12" s="91" t="s">
        <v>255</v>
      </c>
      <c r="B12" s="91"/>
      <c r="C12" s="91"/>
      <c r="D12" s="91"/>
      <c r="E12" s="91"/>
      <c r="F12" s="91"/>
    </row>
    <row r="13" spans="1:8" x14ac:dyDescent="0.25">
      <c r="A13" s="74" t="s">
        <v>3</v>
      </c>
      <c r="B13" s="75" t="s">
        <v>256</v>
      </c>
      <c r="C13" s="76" t="s">
        <v>257</v>
      </c>
      <c r="D13" s="76" t="s">
        <v>258</v>
      </c>
      <c r="E13" s="76" t="s">
        <v>244</v>
      </c>
      <c r="F13" s="77" t="s">
        <v>259</v>
      </c>
    </row>
    <row r="14" spans="1:8" x14ac:dyDescent="0.25">
      <c r="A14" s="83" t="s">
        <v>260</v>
      </c>
      <c r="B14" s="38" t="s">
        <v>261</v>
      </c>
      <c r="C14" s="78" t="s">
        <v>262</v>
      </c>
      <c r="D14" s="78">
        <f>COUNTIF(Cronograma!$A$5:$A$37,$A14&amp;"*")</f>
        <v>1</v>
      </c>
      <c r="E14" s="78">
        <f>COUNTIFS(Cronograma!$A$5:$A$37,$A14&amp;"*",Cronograma!$I$5:$I$37,"Hecho")</f>
        <v>0</v>
      </c>
      <c r="F14" s="79">
        <f>IF(D14=0,0,E14/D14)</f>
        <v>0</v>
      </c>
    </row>
    <row r="15" spans="1:8" x14ac:dyDescent="0.25">
      <c r="A15" s="84" t="s">
        <v>263</v>
      </c>
      <c r="B15" s="38" t="s">
        <v>23</v>
      </c>
      <c r="C15" s="78" t="s">
        <v>264</v>
      </c>
      <c r="D15" s="78">
        <f>COUNTIF(Cronograma!$A$5:$A$37,$A15&amp;"*")</f>
        <v>4</v>
      </c>
      <c r="E15" s="78">
        <f>COUNTIFS(Cronograma!$A$5:$A$37,$A15&amp;"*",Cronograma!$I$5:$I$37,"Hecho")</f>
        <v>0</v>
      </c>
      <c r="F15" s="79">
        <f t="shared" ref="F15:F21" si="0">IF(D15=0,0,E15/D15)</f>
        <v>0</v>
      </c>
    </row>
    <row r="16" spans="1:8" x14ac:dyDescent="0.25">
      <c r="A16" s="85" t="s">
        <v>265</v>
      </c>
      <c r="B16" s="38" t="s">
        <v>266</v>
      </c>
      <c r="C16" s="78" t="s">
        <v>267</v>
      </c>
      <c r="D16" s="78">
        <f>COUNTIF(Cronograma!$A$5:$A$37,$A16&amp;"*")</f>
        <v>7</v>
      </c>
      <c r="E16" s="78">
        <f>COUNTIFS(Cronograma!$A$5:$A$37,$A16&amp;"*",Cronograma!$I$5:$I$37,"Hecho")</f>
        <v>0</v>
      </c>
      <c r="F16" s="79">
        <f t="shared" si="0"/>
        <v>0</v>
      </c>
    </row>
    <row r="17" spans="1:6" x14ac:dyDescent="0.25">
      <c r="A17" s="86" t="s">
        <v>268</v>
      </c>
      <c r="B17" s="38" t="s">
        <v>269</v>
      </c>
      <c r="C17" s="78" t="s">
        <v>270</v>
      </c>
      <c r="D17" s="78">
        <f>COUNTIF(Cronograma!$A$5:$A$37,$A17&amp;"*")</f>
        <v>5</v>
      </c>
      <c r="E17" s="78">
        <f>COUNTIFS(Cronograma!$A$5:$A$37,$A17&amp;"*",Cronograma!$I$5:$I$37,"Hecho")</f>
        <v>0</v>
      </c>
      <c r="F17" s="79">
        <f t="shared" si="0"/>
        <v>0</v>
      </c>
    </row>
    <row r="18" spans="1:6" x14ac:dyDescent="0.25">
      <c r="A18" s="87" t="s">
        <v>271</v>
      </c>
      <c r="B18" s="38" t="s">
        <v>104</v>
      </c>
      <c r="C18" s="78" t="s">
        <v>272</v>
      </c>
      <c r="D18" s="78">
        <f>COUNTIF(Cronograma!$A$5:$A$37,$A18&amp;"*")</f>
        <v>4</v>
      </c>
      <c r="E18" s="78">
        <f>COUNTIFS(Cronograma!$A$5:$A$37,$A18&amp;"*",Cronograma!$I$5:$I$37,"Hecho")</f>
        <v>0</v>
      </c>
      <c r="F18" s="79">
        <f t="shared" si="0"/>
        <v>0</v>
      </c>
    </row>
    <row r="19" spans="1:6" x14ac:dyDescent="0.25">
      <c r="A19" s="88" t="s">
        <v>273</v>
      </c>
      <c r="B19" s="38" t="s">
        <v>274</v>
      </c>
      <c r="C19" s="78" t="s">
        <v>275</v>
      </c>
      <c r="D19" s="78">
        <f>COUNTIF(Cronograma!$A$5:$A$37,$A19&amp;"*")</f>
        <v>4</v>
      </c>
      <c r="E19" s="78">
        <f>COUNTIFS(Cronograma!$A$5:$A$37,$A19&amp;"*",Cronograma!$I$5:$I$37,"Hecho")</f>
        <v>0</v>
      </c>
      <c r="F19" s="79">
        <f t="shared" si="0"/>
        <v>0</v>
      </c>
    </row>
    <row r="20" spans="1:6" x14ac:dyDescent="0.25">
      <c r="A20" s="89" t="s">
        <v>276</v>
      </c>
      <c r="B20" s="38" t="s">
        <v>277</v>
      </c>
      <c r="C20" s="78" t="s">
        <v>278</v>
      </c>
      <c r="D20" s="78">
        <f>COUNTIF(Cronograma!$A$5:$A$37,$A20&amp;"*")</f>
        <v>5</v>
      </c>
      <c r="E20" s="78">
        <f>COUNTIFS(Cronograma!$A$5:$A$37,$A20&amp;"*",Cronograma!$I$5:$I$37,"Hecho")</f>
        <v>0</v>
      </c>
      <c r="F20" s="79">
        <f t="shared" si="0"/>
        <v>0</v>
      </c>
    </row>
    <row r="21" spans="1:6" x14ac:dyDescent="0.25">
      <c r="A21" s="90" t="s">
        <v>279</v>
      </c>
      <c r="B21" s="39" t="s">
        <v>280</v>
      </c>
      <c r="C21" s="80" t="s">
        <v>281</v>
      </c>
      <c r="D21" s="80">
        <f>COUNTIF(Cronograma!$A$5:$A$37,$A21&amp;"*")</f>
        <v>3</v>
      </c>
      <c r="E21" s="80">
        <f>COUNTIFS(Cronograma!$A$5:$A$37,$A21&amp;"*",Cronograma!$I$5:$I$37,"Hecho")</f>
        <v>0</v>
      </c>
      <c r="F21" s="81">
        <f t="shared" si="0"/>
        <v>0</v>
      </c>
    </row>
    <row r="23" spans="1:6" x14ac:dyDescent="0.25">
      <c r="A23" s="73" t="s">
        <v>282</v>
      </c>
      <c r="B23" s="4"/>
      <c r="C23" s="71"/>
      <c r="D23" s="82">
        <f>SUM(D14:D21)</f>
        <v>33</v>
      </c>
      <c r="E23" s="82">
        <f>SUM(E14:E21)</f>
        <v>0</v>
      </c>
      <c r="F23" s="72">
        <f>IF(D23=0,0,E23/D23)</f>
        <v>0</v>
      </c>
    </row>
  </sheetData>
  <mergeCells count="6">
    <mergeCell ref="A1:H1"/>
    <mergeCell ref="A2:H2"/>
    <mergeCell ref="A4:B4"/>
    <mergeCell ref="D4:E4"/>
    <mergeCell ref="D9:E9"/>
    <mergeCell ref="A12:F12"/>
  </mergeCells>
  <conditionalFormatting sqref="F14:F21">
    <cfRule type="dataBar" priority="1">
      <dataBar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{C819CE41-8BFF-497F-9221-728D23297242}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19CE41-8BFF-497F-9221-728D23297242}">
            <x14:dataBar minLength="0" maxLength="10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F14:F21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8061-CE9C-4B75-8A03-F5D5273E37DC}">
  <dimension ref="A1:X37"/>
  <sheetViews>
    <sheetView showGridLines="0" topLeftCell="A5" workbookViewId="0">
      <pane xSplit="1" ySplit="1" topLeftCell="B6" activePane="bottomRight" state="frozen"/>
      <selection activeCell="A5" sqref="A5"/>
      <selection pane="topRight" activeCell="B5" sqref="B5"/>
      <selection pane="bottomLeft" activeCell="A6" sqref="A6"/>
      <selection pane="bottomRight" sqref="A1:X1"/>
    </sheetView>
  </sheetViews>
  <sheetFormatPr baseColWidth="10" defaultRowHeight="15" x14ac:dyDescent="0.25"/>
  <cols>
    <col min="1" max="1" width="6.42578125" customWidth="1"/>
    <col min="2" max="2" width="14.140625" customWidth="1"/>
    <col min="3" max="3" width="47.5703125" customWidth="1"/>
    <col min="5" max="5" width="12.5703125" customWidth="1"/>
    <col min="6" max="6" width="8.7109375" customWidth="1"/>
    <col min="7" max="8" width="45.7109375" customWidth="1"/>
    <col min="9" max="9" width="14.85546875" customWidth="1"/>
    <col min="10" max="11" width="5" customWidth="1"/>
    <col min="12" max="24" width="4.140625" customWidth="1"/>
  </cols>
  <sheetData>
    <row r="1" spans="1:24" ht="26.1" customHeight="1" x14ac:dyDescent="0.3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4" spans="1:24" x14ac:dyDescent="0.25">
      <c r="A4" s="2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3">
        <v>0</v>
      </c>
      <c r="M4" s="3">
        <v>1</v>
      </c>
      <c r="N4" s="3">
        <v>2</v>
      </c>
      <c r="O4" s="3">
        <v>3</v>
      </c>
      <c r="P4" s="3">
        <v>4</v>
      </c>
      <c r="Q4" s="3">
        <v>5</v>
      </c>
      <c r="R4" s="3">
        <v>6</v>
      </c>
      <c r="S4" s="3">
        <v>7</v>
      </c>
      <c r="T4" s="3">
        <v>8</v>
      </c>
      <c r="U4" s="3">
        <v>9</v>
      </c>
      <c r="V4" s="3">
        <v>10</v>
      </c>
      <c r="W4" s="3">
        <v>11</v>
      </c>
      <c r="X4" s="3">
        <v>12</v>
      </c>
    </row>
    <row r="5" spans="1:24" ht="25.5" x14ac:dyDescent="0.25">
      <c r="A5" s="11" t="s">
        <v>13</v>
      </c>
      <c r="B5" s="5" t="s">
        <v>14</v>
      </c>
      <c r="C5" s="8" t="s">
        <v>15</v>
      </c>
      <c r="D5" s="14" t="s">
        <v>16</v>
      </c>
      <c r="E5" s="14" t="s">
        <v>17</v>
      </c>
      <c r="F5" s="14" t="s">
        <v>18</v>
      </c>
      <c r="G5" s="8" t="s">
        <v>19</v>
      </c>
      <c r="H5" s="8" t="s">
        <v>20</v>
      </c>
      <c r="I5" s="14" t="s">
        <v>21</v>
      </c>
      <c r="J5" s="14">
        <v>0</v>
      </c>
      <c r="K5" s="17">
        <v>0</v>
      </c>
      <c r="L5" s="22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4"/>
    </row>
    <row r="6" spans="1:24" ht="25.5" x14ac:dyDescent="0.25">
      <c r="A6" s="12" t="s">
        <v>22</v>
      </c>
      <c r="B6" s="6" t="s">
        <v>23</v>
      </c>
      <c r="C6" s="9" t="s">
        <v>24</v>
      </c>
      <c r="D6" s="15" t="s">
        <v>25</v>
      </c>
      <c r="E6" s="15" t="s">
        <v>26</v>
      </c>
      <c r="F6" s="15" t="s">
        <v>13</v>
      </c>
      <c r="G6" s="9" t="s">
        <v>27</v>
      </c>
      <c r="H6" s="9" t="s">
        <v>28</v>
      </c>
      <c r="I6" s="15" t="s">
        <v>21</v>
      </c>
      <c r="J6" s="15">
        <v>1</v>
      </c>
      <c r="K6" s="18">
        <v>1</v>
      </c>
      <c r="L6" s="25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7"/>
    </row>
    <row r="7" spans="1:24" ht="25.5" x14ac:dyDescent="0.25">
      <c r="A7" s="12" t="s">
        <v>29</v>
      </c>
      <c r="B7" s="6" t="s">
        <v>23</v>
      </c>
      <c r="C7" s="9" t="s">
        <v>30</v>
      </c>
      <c r="D7" s="15" t="s">
        <v>25</v>
      </c>
      <c r="E7" s="15" t="s">
        <v>26</v>
      </c>
      <c r="F7" s="15" t="s">
        <v>13</v>
      </c>
      <c r="G7" s="9" t="s">
        <v>31</v>
      </c>
      <c r="H7" s="9" t="s">
        <v>28</v>
      </c>
      <c r="I7" s="15" t="s">
        <v>21</v>
      </c>
      <c r="J7" s="15">
        <v>1</v>
      </c>
      <c r="K7" s="18">
        <v>1</v>
      </c>
      <c r="L7" s="25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7"/>
    </row>
    <row r="8" spans="1:24" ht="25.5" x14ac:dyDescent="0.25">
      <c r="A8" s="12" t="s">
        <v>32</v>
      </c>
      <c r="B8" s="6" t="s">
        <v>23</v>
      </c>
      <c r="C8" s="9" t="s">
        <v>33</v>
      </c>
      <c r="D8" s="15" t="s">
        <v>25</v>
      </c>
      <c r="E8" s="15" t="s">
        <v>26</v>
      </c>
      <c r="F8" s="15" t="s">
        <v>13</v>
      </c>
      <c r="G8" s="9" t="s">
        <v>34</v>
      </c>
      <c r="H8" s="9" t="s">
        <v>35</v>
      </c>
      <c r="I8" s="15" t="s">
        <v>21</v>
      </c>
      <c r="J8" s="15">
        <v>1</v>
      </c>
      <c r="K8" s="18">
        <v>1</v>
      </c>
      <c r="L8" s="25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</row>
    <row r="9" spans="1:24" x14ac:dyDescent="0.25">
      <c r="A9" s="12" t="s">
        <v>36</v>
      </c>
      <c r="B9" s="6" t="s">
        <v>23</v>
      </c>
      <c r="C9" s="9" t="s">
        <v>37</v>
      </c>
      <c r="D9" s="15" t="s">
        <v>38</v>
      </c>
      <c r="E9" s="15" t="s">
        <v>39</v>
      </c>
      <c r="F9" s="15" t="s">
        <v>40</v>
      </c>
      <c r="G9" s="9" t="s">
        <v>41</v>
      </c>
      <c r="H9" s="9" t="s">
        <v>42</v>
      </c>
      <c r="I9" s="15" t="s">
        <v>21</v>
      </c>
      <c r="J9" s="15">
        <v>1</v>
      </c>
      <c r="K9" s="18">
        <v>4</v>
      </c>
      <c r="L9" s="25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7"/>
    </row>
    <row r="10" spans="1:24" x14ac:dyDescent="0.25">
      <c r="A10" s="12" t="s">
        <v>43</v>
      </c>
      <c r="B10" s="6" t="s">
        <v>44</v>
      </c>
      <c r="C10" s="9" t="s">
        <v>45</v>
      </c>
      <c r="D10" s="15" t="s">
        <v>46</v>
      </c>
      <c r="E10" s="15" t="s">
        <v>47</v>
      </c>
      <c r="F10" s="15" t="s">
        <v>48</v>
      </c>
      <c r="G10" s="9" t="s">
        <v>49</v>
      </c>
      <c r="H10" s="9" t="s">
        <v>50</v>
      </c>
      <c r="I10" s="15" t="s">
        <v>21</v>
      </c>
      <c r="J10" s="15">
        <v>2</v>
      </c>
      <c r="K10" s="18">
        <v>2</v>
      </c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7"/>
    </row>
    <row r="11" spans="1:24" x14ac:dyDescent="0.25">
      <c r="A11" s="12" t="s">
        <v>51</v>
      </c>
      <c r="B11" s="6" t="s">
        <v>44</v>
      </c>
      <c r="C11" s="9" t="s">
        <v>52</v>
      </c>
      <c r="D11" s="15" t="s">
        <v>53</v>
      </c>
      <c r="E11" s="15" t="s">
        <v>54</v>
      </c>
      <c r="F11" s="15" t="s">
        <v>43</v>
      </c>
      <c r="G11" s="9" t="s">
        <v>55</v>
      </c>
      <c r="H11" s="9" t="s">
        <v>56</v>
      </c>
      <c r="I11" s="15" t="s">
        <v>21</v>
      </c>
      <c r="J11" s="15">
        <v>2</v>
      </c>
      <c r="K11" s="18">
        <v>2</v>
      </c>
      <c r="L11" s="25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7"/>
    </row>
    <row r="12" spans="1:24" x14ac:dyDescent="0.25">
      <c r="A12" s="12" t="s">
        <v>57</v>
      </c>
      <c r="B12" s="6" t="s">
        <v>44</v>
      </c>
      <c r="C12" s="9" t="s">
        <v>58</v>
      </c>
      <c r="D12" s="15" t="s">
        <v>46</v>
      </c>
      <c r="E12" s="15" t="s">
        <v>54</v>
      </c>
      <c r="F12" s="15" t="s">
        <v>51</v>
      </c>
      <c r="G12" s="9" t="s">
        <v>59</v>
      </c>
      <c r="H12" s="9" t="s">
        <v>60</v>
      </c>
      <c r="I12" s="15" t="s">
        <v>21</v>
      </c>
      <c r="J12" s="15">
        <v>2</v>
      </c>
      <c r="K12" s="18">
        <v>2</v>
      </c>
      <c r="L12" s="25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7"/>
    </row>
    <row r="13" spans="1:24" x14ac:dyDescent="0.25">
      <c r="A13" s="12" t="s">
        <v>61</v>
      </c>
      <c r="B13" s="6" t="s">
        <v>44</v>
      </c>
      <c r="C13" s="9" t="s">
        <v>62</v>
      </c>
      <c r="D13" s="15" t="s">
        <v>46</v>
      </c>
      <c r="E13" s="15" t="s">
        <v>54</v>
      </c>
      <c r="F13" s="15" t="s">
        <v>57</v>
      </c>
      <c r="G13" s="9" t="s">
        <v>63</v>
      </c>
      <c r="H13" s="9" t="s">
        <v>64</v>
      </c>
      <c r="I13" s="15" t="s">
        <v>21</v>
      </c>
      <c r="J13" s="15">
        <v>2</v>
      </c>
      <c r="K13" s="18">
        <v>3</v>
      </c>
      <c r="L13" s="25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7"/>
    </row>
    <row r="14" spans="1:24" x14ac:dyDescent="0.25">
      <c r="A14" s="12" t="s">
        <v>65</v>
      </c>
      <c r="B14" s="6" t="s">
        <v>44</v>
      </c>
      <c r="C14" s="9" t="s">
        <v>66</v>
      </c>
      <c r="D14" s="15" t="s">
        <v>46</v>
      </c>
      <c r="E14" s="15" t="s">
        <v>26</v>
      </c>
      <c r="F14" s="15" t="s">
        <v>61</v>
      </c>
      <c r="G14" s="9" t="s">
        <v>67</v>
      </c>
      <c r="H14" s="9" t="s">
        <v>68</v>
      </c>
      <c r="I14" s="15" t="s">
        <v>21</v>
      </c>
      <c r="J14" s="15">
        <v>3</v>
      </c>
      <c r="K14" s="18">
        <v>3</v>
      </c>
      <c r="L14" s="25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7"/>
    </row>
    <row r="15" spans="1:24" x14ac:dyDescent="0.25">
      <c r="A15" s="12" t="s">
        <v>69</v>
      </c>
      <c r="B15" s="6" t="s">
        <v>44</v>
      </c>
      <c r="C15" s="9" t="s">
        <v>70</v>
      </c>
      <c r="D15" s="15" t="s">
        <v>46</v>
      </c>
      <c r="E15" s="15" t="s">
        <v>26</v>
      </c>
      <c r="F15" s="15" t="s">
        <v>57</v>
      </c>
      <c r="G15" s="9" t="s">
        <v>71</v>
      </c>
      <c r="H15" s="9" t="s">
        <v>72</v>
      </c>
      <c r="I15" s="15" t="s">
        <v>21</v>
      </c>
      <c r="J15" s="15">
        <v>3</v>
      </c>
      <c r="K15" s="18">
        <v>3</v>
      </c>
      <c r="L15" s="25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7"/>
    </row>
    <row r="16" spans="1:24" x14ac:dyDescent="0.25">
      <c r="A16" s="12" t="s">
        <v>73</v>
      </c>
      <c r="B16" s="6" t="s">
        <v>44</v>
      </c>
      <c r="C16" s="9" t="s">
        <v>74</v>
      </c>
      <c r="D16" s="15" t="s">
        <v>75</v>
      </c>
      <c r="E16" s="15" t="s">
        <v>26</v>
      </c>
      <c r="F16" s="15" t="s">
        <v>76</v>
      </c>
      <c r="G16" s="9" t="s">
        <v>77</v>
      </c>
      <c r="H16" s="9" t="s">
        <v>78</v>
      </c>
      <c r="I16" s="15" t="s">
        <v>21</v>
      </c>
      <c r="J16" s="15">
        <v>3</v>
      </c>
      <c r="K16" s="18">
        <v>3</v>
      </c>
      <c r="L16" s="25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7"/>
    </row>
    <row r="17" spans="1:24" x14ac:dyDescent="0.25">
      <c r="A17" s="12" t="s">
        <v>79</v>
      </c>
      <c r="B17" s="6" t="s">
        <v>80</v>
      </c>
      <c r="C17" s="9" t="s">
        <v>81</v>
      </c>
      <c r="D17" s="15" t="s">
        <v>53</v>
      </c>
      <c r="E17" s="15" t="s">
        <v>26</v>
      </c>
      <c r="F17" s="15" t="s">
        <v>82</v>
      </c>
      <c r="G17" s="9" t="s">
        <v>83</v>
      </c>
      <c r="H17" s="9" t="s">
        <v>84</v>
      </c>
      <c r="I17" s="15" t="s">
        <v>21</v>
      </c>
      <c r="J17" s="15">
        <v>4</v>
      </c>
      <c r="K17" s="18">
        <v>4</v>
      </c>
      <c r="L17" s="25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7"/>
    </row>
    <row r="18" spans="1:24" x14ac:dyDescent="0.25">
      <c r="A18" s="12" t="s">
        <v>85</v>
      </c>
      <c r="B18" s="6" t="s">
        <v>80</v>
      </c>
      <c r="C18" s="9" t="s">
        <v>86</v>
      </c>
      <c r="D18" s="15" t="s">
        <v>53</v>
      </c>
      <c r="E18" s="15" t="s">
        <v>26</v>
      </c>
      <c r="F18" s="15" t="s">
        <v>79</v>
      </c>
      <c r="G18" s="9" t="s">
        <v>87</v>
      </c>
      <c r="H18" s="9" t="s">
        <v>88</v>
      </c>
      <c r="I18" s="15" t="s">
        <v>21</v>
      </c>
      <c r="J18" s="15">
        <v>4</v>
      </c>
      <c r="K18" s="18">
        <v>4</v>
      </c>
      <c r="L18" s="25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7"/>
    </row>
    <row r="19" spans="1:24" x14ac:dyDescent="0.25">
      <c r="A19" s="12" t="s">
        <v>89</v>
      </c>
      <c r="B19" s="6" t="s">
        <v>80</v>
      </c>
      <c r="C19" s="9" t="s">
        <v>90</v>
      </c>
      <c r="D19" s="15" t="s">
        <v>46</v>
      </c>
      <c r="E19" s="15" t="s">
        <v>47</v>
      </c>
      <c r="F19" s="15" t="s">
        <v>85</v>
      </c>
      <c r="G19" s="9" t="s">
        <v>91</v>
      </c>
      <c r="H19" s="9" t="s">
        <v>92</v>
      </c>
      <c r="I19" s="15" t="s">
        <v>21</v>
      </c>
      <c r="J19" s="15">
        <v>4</v>
      </c>
      <c r="K19" s="18">
        <v>4</v>
      </c>
      <c r="L19" s="25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7"/>
    </row>
    <row r="20" spans="1:24" x14ac:dyDescent="0.25">
      <c r="A20" s="12" t="s">
        <v>93</v>
      </c>
      <c r="B20" s="6" t="s">
        <v>94</v>
      </c>
      <c r="C20" s="9" t="s">
        <v>95</v>
      </c>
      <c r="D20" s="15" t="s">
        <v>75</v>
      </c>
      <c r="E20" s="15" t="s">
        <v>47</v>
      </c>
      <c r="F20" s="15" t="s">
        <v>61</v>
      </c>
      <c r="G20" s="9" t="s">
        <v>96</v>
      </c>
      <c r="H20" s="9" t="s">
        <v>97</v>
      </c>
      <c r="I20" s="15" t="s">
        <v>21</v>
      </c>
      <c r="J20" s="15">
        <v>4</v>
      </c>
      <c r="K20" s="18">
        <v>4</v>
      </c>
      <c r="L20" s="25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7"/>
    </row>
    <row r="21" spans="1:24" x14ac:dyDescent="0.25">
      <c r="A21" s="12" t="s">
        <v>98</v>
      </c>
      <c r="B21" s="6" t="s">
        <v>94</v>
      </c>
      <c r="C21" s="9" t="s">
        <v>99</v>
      </c>
      <c r="D21" s="15" t="s">
        <v>100</v>
      </c>
      <c r="E21" s="15" t="s">
        <v>54</v>
      </c>
      <c r="F21" s="15" t="s">
        <v>61</v>
      </c>
      <c r="G21" s="9" t="s">
        <v>101</v>
      </c>
      <c r="H21" s="9" t="s">
        <v>102</v>
      </c>
      <c r="I21" s="15" t="s">
        <v>21</v>
      </c>
      <c r="J21" s="15">
        <v>4</v>
      </c>
      <c r="K21" s="18">
        <v>4</v>
      </c>
      <c r="L21" s="25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7"/>
    </row>
    <row r="22" spans="1:24" x14ac:dyDescent="0.25">
      <c r="A22" s="12" t="s">
        <v>103</v>
      </c>
      <c r="B22" s="6" t="s">
        <v>104</v>
      </c>
      <c r="C22" s="9" t="s">
        <v>105</v>
      </c>
      <c r="D22" s="15" t="s">
        <v>38</v>
      </c>
      <c r="E22" s="15" t="s">
        <v>26</v>
      </c>
      <c r="F22" s="15" t="s">
        <v>85</v>
      </c>
      <c r="G22" s="9" t="s">
        <v>106</v>
      </c>
      <c r="H22" s="9" t="s">
        <v>107</v>
      </c>
      <c r="I22" s="15" t="s">
        <v>21</v>
      </c>
      <c r="J22" s="15">
        <v>5</v>
      </c>
      <c r="K22" s="18">
        <v>5</v>
      </c>
      <c r="L22" s="25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7"/>
    </row>
    <row r="23" spans="1:24" x14ac:dyDescent="0.25">
      <c r="A23" s="12" t="s">
        <v>108</v>
      </c>
      <c r="B23" s="6" t="s">
        <v>104</v>
      </c>
      <c r="C23" s="9" t="s">
        <v>109</v>
      </c>
      <c r="D23" s="15" t="s">
        <v>110</v>
      </c>
      <c r="E23" s="15" t="s">
        <v>17</v>
      </c>
      <c r="F23" s="15" t="s">
        <v>103</v>
      </c>
      <c r="G23" s="9" t="s">
        <v>111</v>
      </c>
      <c r="H23" s="9" t="s">
        <v>112</v>
      </c>
      <c r="I23" s="15" t="s">
        <v>21</v>
      </c>
      <c r="J23" s="15">
        <v>6</v>
      </c>
      <c r="K23" s="18">
        <v>6</v>
      </c>
      <c r="L23" s="25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7"/>
    </row>
    <row r="24" spans="1:24" x14ac:dyDescent="0.25">
      <c r="A24" s="12" t="s">
        <v>113</v>
      </c>
      <c r="B24" s="6" t="s">
        <v>104</v>
      </c>
      <c r="C24" s="9" t="s">
        <v>114</v>
      </c>
      <c r="D24" s="15" t="s">
        <v>100</v>
      </c>
      <c r="E24" s="15" t="s">
        <v>47</v>
      </c>
      <c r="F24" s="15" t="s">
        <v>108</v>
      </c>
      <c r="G24" s="9" t="s">
        <v>115</v>
      </c>
      <c r="H24" s="9" t="s">
        <v>116</v>
      </c>
      <c r="I24" s="15" t="s">
        <v>21</v>
      </c>
      <c r="J24" s="15">
        <v>6</v>
      </c>
      <c r="K24" s="18">
        <v>6</v>
      </c>
      <c r="L24" s="25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7"/>
    </row>
    <row r="25" spans="1:24" x14ac:dyDescent="0.25">
      <c r="A25" s="12" t="s">
        <v>117</v>
      </c>
      <c r="B25" s="6" t="s">
        <v>104</v>
      </c>
      <c r="C25" s="9" t="s">
        <v>118</v>
      </c>
      <c r="D25" s="15" t="s">
        <v>100</v>
      </c>
      <c r="E25" s="15" t="s">
        <v>26</v>
      </c>
      <c r="F25" s="15" t="s">
        <v>113</v>
      </c>
      <c r="G25" s="9" t="s">
        <v>119</v>
      </c>
      <c r="H25" s="9" t="s">
        <v>120</v>
      </c>
      <c r="I25" s="15" t="s">
        <v>21</v>
      </c>
      <c r="J25" s="15">
        <v>6</v>
      </c>
      <c r="K25" s="18">
        <v>6</v>
      </c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7"/>
    </row>
    <row r="26" spans="1:24" x14ac:dyDescent="0.25">
      <c r="A26" s="12" t="s">
        <v>121</v>
      </c>
      <c r="B26" s="6" t="s">
        <v>122</v>
      </c>
      <c r="C26" s="9" t="s">
        <v>123</v>
      </c>
      <c r="D26" s="15" t="s">
        <v>53</v>
      </c>
      <c r="E26" s="15" t="s">
        <v>17</v>
      </c>
      <c r="F26" s="15" t="s">
        <v>117</v>
      </c>
      <c r="G26" s="9" t="s">
        <v>124</v>
      </c>
      <c r="H26" s="9" t="s">
        <v>125</v>
      </c>
      <c r="I26" s="15" t="s">
        <v>21</v>
      </c>
      <c r="J26" s="15">
        <v>7</v>
      </c>
      <c r="K26" s="18">
        <v>7</v>
      </c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7"/>
    </row>
    <row r="27" spans="1:24" x14ac:dyDescent="0.25">
      <c r="A27" s="12" t="s">
        <v>126</v>
      </c>
      <c r="B27" s="6" t="s">
        <v>122</v>
      </c>
      <c r="C27" s="9" t="s">
        <v>127</v>
      </c>
      <c r="D27" s="15" t="s">
        <v>53</v>
      </c>
      <c r="E27" s="15" t="s">
        <v>26</v>
      </c>
      <c r="F27" s="15" t="s">
        <v>121</v>
      </c>
      <c r="G27" s="9" t="s">
        <v>128</v>
      </c>
      <c r="H27" s="9" t="s">
        <v>129</v>
      </c>
      <c r="I27" s="15" t="s">
        <v>21</v>
      </c>
      <c r="J27" s="15">
        <v>7</v>
      </c>
      <c r="K27" s="18">
        <v>7</v>
      </c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7"/>
    </row>
    <row r="28" spans="1:24" x14ac:dyDescent="0.25">
      <c r="A28" s="12" t="s">
        <v>130</v>
      </c>
      <c r="B28" s="6" t="s">
        <v>122</v>
      </c>
      <c r="C28" s="9" t="s">
        <v>131</v>
      </c>
      <c r="D28" s="15" t="s">
        <v>100</v>
      </c>
      <c r="E28" s="15" t="s">
        <v>47</v>
      </c>
      <c r="F28" s="15" t="s">
        <v>126</v>
      </c>
      <c r="G28" s="9" t="s">
        <v>132</v>
      </c>
      <c r="H28" s="9" t="s">
        <v>133</v>
      </c>
      <c r="I28" s="15" t="s">
        <v>21</v>
      </c>
      <c r="J28" s="15">
        <v>8</v>
      </c>
      <c r="K28" s="18">
        <v>8</v>
      </c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7"/>
    </row>
    <row r="29" spans="1:24" x14ac:dyDescent="0.25">
      <c r="A29" s="12" t="s">
        <v>134</v>
      </c>
      <c r="B29" s="6" t="s">
        <v>122</v>
      </c>
      <c r="C29" s="9" t="s">
        <v>135</v>
      </c>
      <c r="D29" s="15" t="s">
        <v>53</v>
      </c>
      <c r="E29" s="15" t="s">
        <v>47</v>
      </c>
      <c r="F29" s="15" t="s">
        <v>130</v>
      </c>
      <c r="G29" s="9" t="s">
        <v>136</v>
      </c>
      <c r="H29" s="9" t="s">
        <v>137</v>
      </c>
      <c r="I29" s="15" t="s">
        <v>21</v>
      </c>
      <c r="J29" s="15">
        <v>8</v>
      </c>
      <c r="K29" s="18">
        <v>8</v>
      </c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7"/>
    </row>
    <row r="30" spans="1:24" x14ac:dyDescent="0.25">
      <c r="A30" s="12" t="s">
        <v>138</v>
      </c>
      <c r="B30" s="6" t="s">
        <v>139</v>
      </c>
      <c r="C30" s="9" t="s">
        <v>140</v>
      </c>
      <c r="D30" s="15" t="s">
        <v>100</v>
      </c>
      <c r="E30" s="15" t="s">
        <v>47</v>
      </c>
      <c r="F30" s="15" t="s">
        <v>134</v>
      </c>
      <c r="G30" s="9" t="s">
        <v>141</v>
      </c>
      <c r="H30" s="9" t="s">
        <v>142</v>
      </c>
      <c r="I30" s="15" t="s">
        <v>21</v>
      </c>
      <c r="J30" s="15">
        <v>9</v>
      </c>
      <c r="K30" s="18">
        <v>9</v>
      </c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7"/>
    </row>
    <row r="31" spans="1:24" x14ac:dyDescent="0.25">
      <c r="A31" s="12" t="s">
        <v>143</v>
      </c>
      <c r="B31" s="6" t="s">
        <v>139</v>
      </c>
      <c r="C31" s="9" t="s">
        <v>144</v>
      </c>
      <c r="D31" s="15" t="s">
        <v>100</v>
      </c>
      <c r="E31" s="15" t="s">
        <v>47</v>
      </c>
      <c r="F31" s="15" t="s">
        <v>138</v>
      </c>
      <c r="G31" s="9" t="s">
        <v>145</v>
      </c>
      <c r="H31" s="9" t="s">
        <v>146</v>
      </c>
      <c r="I31" s="15" t="s">
        <v>21</v>
      </c>
      <c r="J31" s="15">
        <v>9</v>
      </c>
      <c r="K31" s="18">
        <v>9</v>
      </c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7"/>
    </row>
    <row r="32" spans="1:24" x14ac:dyDescent="0.25">
      <c r="A32" s="12" t="s">
        <v>147</v>
      </c>
      <c r="B32" s="6" t="s">
        <v>139</v>
      </c>
      <c r="C32" s="9" t="s">
        <v>148</v>
      </c>
      <c r="D32" s="15" t="s">
        <v>100</v>
      </c>
      <c r="E32" s="15" t="s">
        <v>47</v>
      </c>
      <c r="F32" s="15" t="s">
        <v>143</v>
      </c>
      <c r="G32" s="9" t="s">
        <v>149</v>
      </c>
      <c r="H32" s="9" t="s">
        <v>150</v>
      </c>
      <c r="I32" s="15" t="s">
        <v>21</v>
      </c>
      <c r="J32" s="15">
        <v>10</v>
      </c>
      <c r="K32" s="18">
        <v>10</v>
      </c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7"/>
    </row>
    <row r="33" spans="1:24" x14ac:dyDescent="0.25">
      <c r="A33" s="12" t="s">
        <v>151</v>
      </c>
      <c r="B33" s="6" t="s">
        <v>139</v>
      </c>
      <c r="C33" s="9" t="s">
        <v>152</v>
      </c>
      <c r="D33" s="15" t="s">
        <v>100</v>
      </c>
      <c r="E33" s="15" t="s">
        <v>47</v>
      </c>
      <c r="F33" s="15" t="s">
        <v>147</v>
      </c>
      <c r="G33" s="9" t="s">
        <v>153</v>
      </c>
      <c r="H33" s="9" t="s">
        <v>154</v>
      </c>
      <c r="I33" s="15" t="s">
        <v>21</v>
      </c>
      <c r="J33" s="15">
        <v>10</v>
      </c>
      <c r="K33" s="18">
        <v>10</v>
      </c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7"/>
    </row>
    <row r="34" spans="1:24" x14ac:dyDescent="0.25">
      <c r="A34" s="12" t="s">
        <v>155</v>
      </c>
      <c r="B34" s="6" t="s">
        <v>139</v>
      </c>
      <c r="C34" s="9" t="s">
        <v>156</v>
      </c>
      <c r="D34" s="15" t="s">
        <v>157</v>
      </c>
      <c r="E34" s="15" t="s">
        <v>26</v>
      </c>
      <c r="F34" s="15" t="s">
        <v>158</v>
      </c>
      <c r="G34" s="9" t="s">
        <v>159</v>
      </c>
      <c r="H34" s="9" t="s">
        <v>160</v>
      </c>
      <c r="I34" s="15" t="s">
        <v>21</v>
      </c>
      <c r="J34" s="15">
        <v>10</v>
      </c>
      <c r="K34" s="18">
        <v>10</v>
      </c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7"/>
    </row>
    <row r="35" spans="1:24" x14ac:dyDescent="0.25">
      <c r="A35" s="12" t="s">
        <v>161</v>
      </c>
      <c r="B35" s="6" t="s">
        <v>162</v>
      </c>
      <c r="C35" s="9" t="s">
        <v>163</v>
      </c>
      <c r="D35" s="15" t="s">
        <v>46</v>
      </c>
      <c r="E35" s="15" t="s">
        <v>54</v>
      </c>
      <c r="F35" s="15" t="s">
        <v>164</v>
      </c>
      <c r="G35" s="9" t="s">
        <v>165</v>
      </c>
      <c r="H35" s="9" t="s">
        <v>166</v>
      </c>
      <c r="I35" s="15" t="s">
        <v>21</v>
      </c>
      <c r="J35" s="15">
        <v>11</v>
      </c>
      <c r="K35" s="18">
        <v>11</v>
      </c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7"/>
    </row>
    <row r="36" spans="1:24" x14ac:dyDescent="0.25">
      <c r="A36" s="12" t="s">
        <v>167</v>
      </c>
      <c r="B36" s="6" t="s">
        <v>162</v>
      </c>
      <c r="C36" s="9" t="s">
        <v>168</v>
      </c>
      <c r="D36" s="15" t="s">
        <v>53</v>
      </c>
      <c r="E36" s="15" t="s">
        <v>26</v>
      </c>
      <c r="F36" s="15" t="s">
        <v>164</v>
      </c>
      <c r="G36" s="9" t="s">
        <v>169</v>
      </c>
      <c r="H36" s="9" t="s">
        <v>170</v>
      </c>
      <c r="I36" s="15" t="s">
        <v>21</v>
      </c>
      <c r="J36" s="15">
        <v>11</v>
      </c>
      <c r="K36" s="18">
        <v>11</v>
      </c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7"/>
    </row>
    <row r="37" spans="1:24" x14ac:dyDescent="0.25">
      <c r="A37" s="13" t="s">
        <v>171</v>
      </c>
      <c r="B37" s="7" t="s">
        <v>162</v>
      </c>
      <c r="C37" s="10" t="s">
        <v>172</v>
      </c>
      <c r="D37" s="16" t="s">
        <v>16</v>
      </c>
      <c r="E37" s="16" t="s">
        <v>47</v>
      </c>
      <c r="F37" s="16" t="s">
        <v>173</v>
      </c>
      <c r="G37" s="10" t="s">
        <v>174</v>
      </c>
      <c r="H37" s="10" t="s">
        <v>175</v>
      </c>
      <c r="I37" s="16" t="s">
        <v>21</v>
      </c>
      <c r="J37" s="16">
        <v>12</v>
      </c>
      <c r="K37" s="19">
        <v>12</v>
      </c>
      <c r="L37" s="28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30"/>
    </row>
  </sheetData>
  <mergeCells count="2">
    <mergeCell ref="A1:X1"/>
    <mergeCell ref="A2:X2"/>
  </mergeCells>
  <conditionalFormatting sqref="L5:X37">
    <cfRule type="expression" dxfId="17" priority="1">
      <formula>AND(L$4&gt;=$J5,L$4&lt;=$K5,LEFT($A5,1)="A")</formula>
    </cfRule>
  </conditionalFormatting>
  <conditionalFormatting sqref="L5:X37">
    <cfRule type="expression" dxfId="16" priority="2">
      <formula>AND(L$4&gt;=$J5,L$4&lt;=$K5,LEFT($A5,1)="B")</formula>
    </cfRule>
  </conditionalFormatting>
  <conditionalFormatting sqref="L5:X37">
    <cfRule type="expression" dxfId="15" priority="3">
      <formula>AND(L$4&gt;=$J5,L$4&lt;=$K5,LEFT($A5,1)="C")</formula>
    </cfRule>
  </conditionalFormatting>
  <conditionalFormatting sqref="L5:X37">
    <cfRule type="expression" dxfId="14" priority="4">
      <formula>AND(L$4&gt;=$J5,L$4&lt;=$K5,LEFT($A5,1)="D")</formula>
    </cfRule>
  </conditionalFormatting>
  <conditionalFormatting sqref="L5:X37">
    <cfRule type="expression" dxfId="13" priority="5">
      <formula>AND(L$4&gt;=$J5,L$4&lt;=$K5,LEFT($A5,1)="E")</formula>
    </cfRule>
  </conditionalFormatting>
  <conditionalFormatting sqref="L5:X37">
    <cfRule type="expression" dxfId="12" priority="6">
      <formula>AND(L$4&gt;=$J5,L$4&lt;=$K5,LEFT($A5,1)="F")</formula>
    </cfRule>
  </conditionalFormatting>
  <conditionalFormatting sqref="L5:X37">
    <cfRule type="expression" dxfId="11" priority="7">
      <formula>AND(L$4&gt;=$J5,L$4&lt;=$K5,LEFT($A5,1)="G")</formula>
    </cfRule>
  </conditionalFormatting>
  <conditionalFormatting sqref="L5:X37">
    <cfRule type="expression" dxfId="10" priority="8">
      <formula>AND(L$4&gt;=$J5,L$4&lt;=$K5,LEFT($A5,1)="H")</formula>
    </cfRule>
  </conditionalFormatting>
  <conditionalFormatting sqref="I5:I37">
    <cfRule type="cellIs" dxfId="9" priority="9" operator="equal">
      <formula>"Hecho"</formula>
    </cfRule>
  </conditionalFormatting>
  <conditionalFormatting sqref="I5:I37">
    <cfRule type="cellIs" dxfId="8" priority="10" operator="equal">
      <formula>"En curso"</formula>
    </cfRule>
  </conditionalFormatting>
  <conditionalFormatting sqref="I5:I37">
    <cfRule type="cellIs" dxfId="7" priority="11" operator="equal">
      <formula>"Bloqueado"</formula>
    </cfRule>
  </conditionalFormatting>
  <conditionalFormatting sqref="I5:I37">
    <cfRule type="cellIs" dxfId="6" priority="12" operator="equal">
      <formula>"Pendiente"</formula>
    </cfRule>
  </conditionalFormatting>
  <dataValidations count="1">
    <dataValidation type="list" allowBlank="1" showInputMessage="1" showErrorMessage="1" sqref="I5:I37" xr:uid="{EA8517F5-CC58-4E7F-B8F1-FFC76924CD26}">
      <formula1>"Pendiente,En curso,Bloqueado,Hecho"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A6AC-696E-450F-994C-FF3B5BB5922F}">
  <dimension ref="A1:G4"/>
  <sheetViews>
    <sheetView showGridLines="0" workbookViewId="0"/>
  </sheetViews>
  <sheetFormatPr baseColWidth="10" defaultRowHeight="15" x14ac:dyDescent="0.25"/>
  <sheetData>
    <row r="1" spans="1:7" ht="21" x14ac:dyDescent="0.35">
      <c r="A1" s="31" t="s">
        <v>283</v>
      </c>
    </row>
    <row r="2" spans="1:7" x14ac:dyDescent="0.25">
      <c r="A2" s="32" t="s">
        <v>284</v>
      </c>
    </row>
    <row r="4" spans="1:7" x14ac:dyDescent="0.25">
      <c r="A4" s="1" t="s">
        <v>285</v>
      </c>
      <c r="B4" s="1" t="s">
        <v>286</v>
      </c>
      <c r="C4" s="2" t="s">
        <v>287</v>
      </c>
      <c r="D4" s="2" t="s">
        <v>288</v>
      </c>
      <c r="E4" s="2" t="s">
        <v>289</v>
      </c>
      <c r="F4" s="2" t="s">
        <v>290</v>
      </c>
      <c r="G4" s="2" t="s">
        <v>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52A4-BE3C-4FA5-9229-8A2E021671A0}">
  <dimension ref="A1:D12"/>
  <sheetViews>
    <sheetView showGridLines="0" workbookViewId="0">
      <selection sqref="A1:D1"/>
    </sheetView>
  </sheetViews>
  <sheetFormatPr baseColWidth="10" defaultRowHeight="15" x14ac:dyDescent="0.25"/>
  <cols>
    <col min="1" max="1" width="8.7109375" customWidth="1"/>
    <col min="2" max="2" width="32.42578125" customWidth="1"/>
    <col min="3" max="3" width="81.85546875" customWidth="1"/>
    <col min="4" max="4" width="18.140625" customWidth="1"/>
  </cols>
  <sheetData>
    <row r="1" spans="1:4" ht="26.1" customHeight="1" x14ac:dyDescent="0.35">
      <c r="A1" s="33" t="s">
        <v>176</v>
      </c>
      <c r="B1" s="33"/>
      <c r="C1" s="33"/>
      <c r="D1" s="33"/>
    </row>
    <row r="2" spans="1:4" x14ac:dyDescent="0.25">
      <c r="A2" s="34" t="s">
        <v>177</v>
      </c>
      <c r="B2" s="34"/>
      <c r="C2" s="34"/>
      <c r="D2" s="34"/>
    </row>
    <row r="4" spans="1:4" x14ac:dyDescent="0.25">
      <c r="A4" s="35" t="s">
        <v>178</v>
      </c>
      <c r="B4" s="36" t="s">
        <v>179</v>
      </c>
      <c r="C4" s="36" t="s">
        <v>180</v>
      </c>
      <c r="D4" s="37" t="s">
        <v>10</v>
      </c>
    </row>
    <row r="5" spans="1:4" x14ac:dyDescent="0.25">
      <c r="A5" s="40" t="s">
        <v>181</v>
      </c>
      <c r="B5" s="42" t="s">
        <v>182</v>
      </c>
      <c r="C5" s="44" t="s">
        <v>183</v>
      </c>
      <c r="D5" s="46" t="s">
        <v>21</v>
      </c>
    </row>
    <row r="6" spans="1:4" x14ac:dyDescent="0.25">
      <c r="A6" s="40" t="s">
        <v>138</v>
      </c>
      <c r="B6" s="42" t="s">
        <v>184</v>
      </c>
      <c r="C6" s="44" t="s">
        <v>185</v>
      </c>
      <c r="D6" s="46" t="s">
        <v>21</v>
      </c>
    </row>
    <row r="7" spans="1:4" x14ac:dyDescent="0.25">
      <c r="A7" s="40" t="s">
        <v>143</v>
      </c>
      <c r="B7" s="42" t="s">
        <v>186</v>
      </c>
      <c r="C7" s="44" t="s">
        <v>187</v>
      </c>
      <c r="D7" s="46" t="s">
        <v>21</v>
      </c>
    </row>
    <row r="8" spans="1:4" x14ac:dyDescent="0.25">
      <c r="A8" s="40" t="s">
        <v>147</v>
      </c>
      <c r="B8" s="42" t="s">
        <v>188</v>
      </c>
      <c r="C8" s="44" t="s">
        <v>189</v>
      </c>
      <c r="D8" s="46" t="s">
        <v>21</v>
      </c>
    </row>
    <row r="9" spans="1:4" x14ac:dyDescent="0.25">
      <c r="A9" s="40" t="s">
        <v>151</v>
      </c>
      <c r="B9" s="42" t="s">
        <v>190</v>
      </c>
      <c r="C9" s="44" t="s">
        <v>191</v>
      </c>
      <c r="D9" s="46" t="s">
        <v>21</v>
      </c>
    </row>
    <row r="10" spans="1:4" x14ac:dyDescent="0.25">
      <c r="A10" s="40" t="s">
        <v>155</v>
      </c>
      <c r="B10" s="42" t="s">
        <v>192</v>
      </c>
      <c r="C10" s="44" t="s">
        <v>193</v>
      </c>
      <c r="D10" s="46" t="s">
        <v>21</v>
      </c>
    </row>
    <row r="11" spans="1:4" x14ac:dyDescent="0.25">
      <c r="A11" s="40" t="s">
        <v>164</v>
      </c>
      <c r="B11" s="42" t="s">
        <v>194</v>
      </c>
      <c r="C11" s="44" t="s">
        <v>195</v>
      </c>
      <c r="D11" s="46" t="s">
        <v>21</v>
      </c>
    </row>
    <row r="12" spans="1:4" x14ac:dyDescent="0.25">
      <c r="A12" s="41" t="s">
        <v>196</v>
      </c>
      <c r="B12" s="43" t="s">
        <v>197</v>
      </c>
      <c r="C12" s="45" t="s">
        <v>198</v>
      </c>
      <c r="D12" s="47" t="s">
        <v>21</v>
      </c>
    </row>
  </sheetData>
  <mergeCells count="2">
    <mergeCell ref="A1:D1"/>
    <mergeCell ref="A2:D2"/>
  </mergeCells>
  <conditionalFormatting sqref="D5:D12">
    <cfRule type="cellIs" dxfId="5" priority="1" operator="equal">
      <formula>"Hecho"</formula>
    </cfRule>
  </conditionalFormatting>
  <conditionalFormatting sqref="D5:D12">
    <cfRule type="cellIs" dxfId="4" priority="2" operator="equal">
      <formula>"En curso"</formula>
    </cfRule>
  </conditionalFormatting>
  <conditionalFormatting sqref="D5:D12">
    <cfRule type="cellIs" dxfId="3" priority="3" operator="equal">
      <formula>"Bloqueado"</formula>
    </cfRule>
  </conditionalFormatting>
  <conditionalFormatting sqref="D5:D12">
    <cfRule type="cellIs" dxfId="2" priority="4" operator="equal">
      <formula>"Pendiente"</formula>
    </cfRule>
  </conditionalFormatting>
  <dataValidations count="1">
    <dataValidation type="list" allowBlank="1" showInputMessage="1" showErrorMessage="1" sqref="D5:D12" xr:uid="{3A1893B9-6000-4CC2-8812-995750532F5B}">
      <formula1>"Pendiente,En curso,Bloqueado,Hecho"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EE56-BA46-40C7-B616-B5446B207F74}">
  <dimension ref="A1:D11"/>
  <sheetViews>
    <sheetView showGridLines="0" workbookViewId="0">
      <selection sqref="A1:D1"/>
    </sheetView>
  </sheetViews>
  <sheetFormatPr baseColWidth="10" defaultRowHeight="15" x14ac:dyDescent="0.25"/>
  <cols>
    <col min="1" max="1" width="53.28515625" customWidth="1"/>
    <col min="2" max="2" width="19" customWidth="1"/>
    <col min="3" max="3" width="15.28515625" customWidth="1"/>
    <col min="4" max="4" width="68.5703125" customWidth="1"/>
  </cols>
  <sheetData>
    <row r="1" spans="1:4" ht="26.1" customHeight="1" x14ac:dyDescent="0.35">
      <c r="A1" s="48" t="s">
        <v>199</v>
      </c>
      <c r="B1" s="48"/>
      <c r="C1" s="48"/>
      <c r="D1" s="48"/>
    </row>
    <row r="2" spans="1:4" x14ac:dyDescent="0.25">
      <c r="A2" s="49" t="s">
        <v>200</v>
      </c>
      <c r="B2" s="49"/>
      <c r="C2" s="49"/>
      <c r="D2" s="49"/>
    </row>
    <row r="4" spans="1:4" x14ac:dyDescent="0.25">
      <c r="A4" s="50" t="s">
        <v>201</v>
      </c>
      <c r="B4" s="51" t="s">
        <v>202</v>
      </c>
      <c r="C4" s="51" t="s">
        <v>203</v>
      </c>
      <c r="D4" s="52" t="s">
        <v>204</v>
      </c>
    </row>
    <row r="5" spans="1:4" x14ac:dyDescent="0.25">
      <c r="A5" s="55" t="s">
        <v>205</v>
      </c>
      <c r="B5" s="53" t="s">
        <v>206</v>
      </c>
      <c r="C5" s="53" t="s">
        <v>207</v>
      </c>
      <c r="D5" s="57" t="s">
        <v>208</v>
      </c>
    </row>
    <row r="6" spans="1:4" x14ac:dyDescent="0.25">
      <c r="A6" s="55" t="s">
        <v>209</v>
      </c>
      <c r="B6" s="53" t="s">
        <v>206</v>
      </c>
      <c r="C6" s="53" t="s">
        <v>207</v>
      </c>
      <c r="D6" s="57" t="s">
        <v>210</v>
      </c>
    </row>
    <row r="7" spans="1:4" x14ac:dyDescent="0.25">
      <c r="A7" s="55" t="s">
        <v>211</v>
      </c>
      <c r="B7" s="53" t="s">
        <v>212</v>
      </c>
      <c r="C7" s="53" t="s">
        <v>213</v>
      </c>
      <c r="D7" s="57" t="s">
        <v>214</v>
      </c>
    </row>
    <row r="8" spans="1:4" x14ac:dyDescent="0.25">
      <c r="A8" s="55" t="s">
        <v>215</v>
      </c>
      <c r="B8" s="53">
        <v>3</v>
      </c>
      <c r="C8" s="53" t="s">
        <v>213</v>
      </c>
      <c r="D8" s="57" t="s">
        <v>216</v>
      </c>
    </row>
    <row r="9" spans="1:4" x14ac:dyDescent="0.25">
      <c r="A9" s="55" t="s">
        <v>217</v>
      </c>
      <c r="B9" s="53">
        <v>8</v>
      </c>
      <c r="C9" s="53" t="s">
        <v>207</v>
      </c>
      <c r="D9" s="57" t="s">
        <v>218</v>
      </c>
    </row>
    <row r="10" spans="1:4" x14ac:dyDescent="0.25">
      <c r="A10" s="55" t="s">
        <v>219</v>
      </c>
      <c r="B10" s="53" t="s">
        <v>206</v>
      </c>
      <c r="C10" s="53" t="s">
        <v>213</v>
      </c>
      <c r="D10" s="57" t="s">
        <v>220</v>
      </c>
    </row>
    <row r="11" spans="1:4" x14ac:dyDescent="0.25">
      <c r="A11" s="56" t="s">
        <v>221</v>
      </c>
      <c r="B11" s="54" t="s">
        <v>222</v>
      </c>
      <c r="C11" s="54" t="s">
        <v>213</v>
      </c>
      <c r="D11" s="58" t="s">
        <v>223</v>
      </c>
    </row>
  </sheetData>
  <mergeCells count="2">
    <mergeCell ref="A1:D1"/>
    <mergeCell ref="A2:D2"/>
  </mergeCells>
  <conditionalFormatting sqref="C5:C11">
    <cfRule type="cellIs" dxfId="1" priority="1" operator="equal">
      <formula>"Alto"</formula>
    </cfRule>
  </conditionalFormatting>
  <conditionalFormatting sqref="C5:C11">
    <cfRule type="cellIs" dxfId="0" priority="2" operator="equal">
      <formula>"Medio"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DA0A-3AC2-4DF1-8299-29B186D5545C}">
  <dimension ref="A1:B16"/>
  <sheetViews>
    <sheetView showGridLines="0" workbookViewId="0">
      <selection sqref="A1:B1"/>
    </sheetView>
  </sheetViews>
  <sheetFormatPr baseColWidth="10" defaultRowHeight="15" x14ac:dyDescent="0.25"/>
  <cols>
    <col min="1" max="1" width="7.5703125" customWidth="1"/>
    <col min="2" max="2" width="118.140625" customWidth="1"/>
  </cols>
  <sheetData>
    <row r="1" spans="1:2" ht="26.1" customHeight="1" x14ac:dyDescent="0.35">
      <c r="A1" s="60" t="s">
        <v>224</v>
      </c>
      <c r="B1" s="60"/>
    </row>
    <row r="2" spans="1:2" x14ac:dyDescent="0.25">
      <c r="A2" s="61" t="s">
        <v>225</v>
      </c>
      <c r="B2" s="61"/>
    </row>
    <row r="4" spans="1:2" x14ac:dyDescent="0.25">
      <c r="A4" s="62" t="s">
        <v>226</v>
      </c>
      <c r="B4" s="63" t="s">
        <v>227</v>
      </c>
    </row>
    <row r="5" spans="1:2" x14ac:dyDescent="0.25">
      <c r="A5" s="64">
        <v>1</v>
      </c>
      <c r="B5" s="66" t="s">
        <v>228</v>
      </c>
    </row>
    <row r="6" spans="1:2" x14ac:dyDescent="0.25">
      <c r="A6" s="64">
        <v>2</v>
      </c>
      <c r="B6" s="66" t="s">
        <v>229</v>
      </c>
    </row>
    <row r="7" spans="1:2" x14ac:dyDescent="0.25">
      <c r="A7" s="64">
        <v>3</v>
      </c>
      <c r="B7" s="66" t="s">
        <v>230</v>
      </c>
    </row>
    <row r="8" spans="1:2" x14ac:dyDescent="0.25">
      <c r="A8" s="64">
        <v>4</v>
      </c>
      <c r="B8" s="66" t="s">
        <v>231</v>
      </c>
    </row>
    <row r="9" spans="1:2" x14ac:dyDescent="0.25">
      <c r="A9" s="65">
        <v>5</v>
      </c>
      <c r="B9" s="67" t="s">
        <v>232</v>
      </c>
    </row>
    <row r="11" spans="1:2" x14ac:dyDescent="0.25">
      <c r="A11" s="59" t="s">
        <v>233</v>
      </c>
    </row>
    <row r="12" spans="1:2" x14ac:dyDescent="0.25">
      <c r="A12" s="68" t="s">
        <v>234</v>
      </c>
      <c r="B12" s="69" t="s">
        <v>235</v>
      </c>
    </row>
    <row r="13" spans="1:2" x14ac:dyDescent="0.25">
      <c r="A13" s="68" t="s">
        <v>234</v>
      </c>
      <c r="B13" s="69" t="s">
        <v>236</v>
      </c>
    </row>
    <row r="14" spans="1:2" x14ac:dyDescent="0.25">
      <c r="A14" s="68" t="s">
        <v>234</v>
      </c>
      <c r="B14" s="69" t="s">
        <v>237</v>
      </c>
    </row>
    <row r="15" spans="1:2" x14ac:dyDescent="0.25">
      <c r="A15" s="68" t="s">
        <v>234</v>
      </c>
      <c r="B15" s="69" t="s">
        <v>238</v>
      </c>
    </row>
    <row r="16" spans="1:2" x14ac:dyDescent="0.25">
      <c r="A16" s="68" t="s">
        <v>234</v>
      </c>
      <c r="B16" s="69" t="s">
        <v>239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Tablero</vt:lpstr>
      <vt:lpstr>Cronograma</vt:lpstr>
      <vt:lpstr>BOM</vt:lpstr>
      <vt:lpstr>Gates</vt:lpstr>
      <vt:lpstr>Riesgos</vt:lpstr>
      <vt:lpstr>Seguridad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Figueroa</dc:creator>
  <cp:lastModifiedBy>Martin Figueroa</cp:lastModifiedBy>
  <dcterms:created xsi:type="dcterms:W3CDTF">2026-07-31T19:16:40Z</dcterms:created>
  <dcterms:modified xsi:type="dcterms:W3CDTF">2026-07-31T19:47:07Z</dcterms:modified>
</cp:coreProperties>
</file>